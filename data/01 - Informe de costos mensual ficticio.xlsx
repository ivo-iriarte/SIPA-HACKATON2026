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stos por centro" sheetId="2" state="visible" r:id="rId2"/>
    <sheet xmlns:r="http://schemas.openxmlformats.org/officeDocument/2006/relationships" name="Origen de datos" sheetId="3" state="visible" r:id="rId3"/>
  </sheets>
  <definedNames>
    <definedName name="_xlnm._FilterDatabase" localSheetId="1" hidden="1">'Costos por centro'!$A$1:$H$3</definedName>
    <definedName name="_xlnm._FilterDatabase" localSheetId="2" hidden="1">'Origen de datos'!$A$1:$C$4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Informe de costos mensual</t>
        </is>
      </c>
    </row>
    <row r="3">
      <c r="A3" t="inlineStr">
        <is>
          <t>Objetivo</t>
        </is>
      </c>
      <c r="B3" t="inlineStr">
        <is>
          <t>Cruce de rubros, centros, datos productivos y costos por kg.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14" customWidth="1" min="5" max="5"/>
    <col width="19" customWidth="1" min="6" max="6"/>
    <col width="16" customWidth="1" min="7" max="7"/>
    <col width="19" customWidth="1" min="8" max="8"/>
  </cols>
  <sheetData>
    <row r="1" ht="32" customHeight="1">
      <c r="A1" s="1" t="inlineStr">
        <is>
          <t>Centro ficticio</t>
        </is>
      </c>
      <c r="B1" s="1" t="inlineStr">
        <is>
          <t>Alimento $</t>
        </is>
      </c>
      <c r="C1" s="1" t="inlineStr">
        <is>
          <t>Sanidad $</t>
        </is>
      </c>
      <c r="D1" s="1" t="inlineStr">
        <is>
          <t>Mano de obra $</t>
        </is>
      </c>
      <c r="E1" s="1" t="inlineStr">
        <is>
          <t>Otros $</t>
        </is>
      </c>
      <c r="F1" s="1" t="inlineStr">
        <is>
          <t>Total $</t>
        </is>
      </c>
      <c r="G1" s="1" t="inlineStr">
        <is>
          <t>Kg producidos</t>
        </is>
      </c>
      <c r="H1" s="1" t="inlineStr">
        <is>
          <t>Costo por kg</t>
        </is>
      </c>
    </row>
    <row r="2">
      <c r="A2" t="inlineStr">
        <is>
          <t>Granja A</t>
        </is>
      </c>
      <c r="B2" t="n">
        <v>3400000</v>
      </c>
      <c r="C2" t="n">
        <v>220000</v>
      </c>
      <c r="D2" t="n">
        <v>610000</v>
      </c>
      <c r="E2" t="n">
        <v>180000</v>
      </c>
      <c r="F2">
        <f>SUM(B2:E2)</f>
        <v/>
      </c>
      <c r="G2" t="n">
        <v>24000</v>
      </c>
      <c r="H2">
        <f>F2/G2</f>
        <v/>
      </c>
    </row>
    <row r="3">
      <c r="A3" t="inlineStr">
        <is>
          <t>Granja B</t>
        </is>
      </c>
      <c r="B3" t="n">
        <v>2900000</v>
      </c>
      <c r="C3" t="n">
        <v>180000</v>
      </c>
      <c r="D3" t="n">
        <v>550000</v>
      </c>
      <c r="E3" t="n">
        <v>170000</v>
      </c>
      <c r="F3">
        <f>SUM(B3:E3)</f>
        <v/>
      </c>
      <c r="G3" t="n">
        <v>21000</v>
      </c>
      <c r="H3">
        <f>F3/G3</f>
        <v/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</cols>
  <sheetData>
    <row r="1" ht="32" customHeight="1">
      <c r="A1" s="1" t="inlineStr">
        <is>
          <t>Campo</t>
        </is>
      </c>
      <c r="B1" s="1" t="inlineStr">
        <is>
          <t>Sistema de origen</t>
        </is>
      </c>
      <c r="C1" s="1" t="inlineStr">
        <is>
          <t>Trabajo manual</t>
        </is>
      </c>
    </row>
    <row r="2">
      <c r="A2" t="inlineStr">
        <is>
          <t>Kg producidos</t>
        </is>
      </c>
      <c r="B2" t="inlineStr">
        <is>
          <t>Agriness</t>
        </is>
      </c>
      <c r="C2" t="inlineStr">
        <is>
          <t>Exportar por establecimiento y consolidar</t>
        </is>
      </c>
    </row>
    <row r="3">
      <c r="A3" t="inlineStr">
        <is>
          <t>Costo alimento</t>
        </is>
      </c>
      <c r="B3" t="inlineStr">
        <is>
          <t>SCADA + Nuvix</t>
        </is>
      </c>
      <c r="C3" t="inlineStr">
        <is>
          <t>Conciliar consumos y valorizacion</t>
        </is>
      </c>
    </row>
    <row r="4">
      <c r="A4" t="inlineStr">
        <is>
          <t>Otros gastos</t>
        </is>
      </c>
      <c r="B4" t="inlineStr">
        <is>
          <t>Nuvix</t>
        </is>
      </c>
      <c r="C4" t="inlineStr">
        <is>
          <t>Imputar a centro de costo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